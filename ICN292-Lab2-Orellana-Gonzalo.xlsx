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mcl-my.sharepoint.com/personal/gorellana_usm_cl/Documents/"/>
    </mc:Choice>
  </mc:AlternateContent>
  <xr:revisionPtr revIDLastSave="665" documentId="8_{72DAA09E-64E6-4169-BA33-D6C2740F815D}" xr6:coauthVersionLast="47" xr6:coauthVersionMax="47" xr10:uidLastSave="{31DF1D5D-85A2-416E-AC25-BC75DB9DD560}"/>
  <bookViews>
    <workbookView xWindow="-120" yWindow="-120" windowWidth="38640" windowHeight="21120" activeTab="2" xr2:uid="{CF448BB4-09E5-4F58-8000-28AE2182C10F}"/>
  </bookViews>
  <sheets>
    <sheet name="Parte A" sheetId="1" r:id="rId1"/>
    <sheet name="Parte B" sheetId="3" r:id="rId2"/>
    <sheet name="Parte 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7" i="4" l="1"/>
  <c r="E5" i="4"/>
  <c r="E6" i="4"/>
  <c r="E8" i="4"/>
  <c r="E9" i="4"/>
  <c r="E10" i="4"/>
  <c r="D10" i="4"/>
  <c r="D9" i="4"/>
  <c r="D8" i="4"/>
  <c r="D7" i="4"/>
  <c r="D6" i="4"/>
  <c r="D5" i="4"/>
  <c r="K8" i="4"/>
  <c r="K7" i="4"/>
  <c r="K5" i="4"/>
  <c r="N12" i="4"/>
  <c r="M11" i="4"/>
  <c r="N11" i="4" s="1"/>
  <c r="L11" i="4"/>
  <c r="K11" i="4"/>
  <c r="M10" i="4"/>
  <c r="N10" i="4" s="1"/>
  <c r="L10" i="4"/>
  <c r="K10" i="4"/>
  <c r="N9" i="4"/>
  <c r="L8" i="4"/>
  <c r="N8" i="4" s="1"/>
  <c r="L7" i="4"/>
  <c r="N7" i="4" s="1"/>
  <c r="M6" i="4"/>
  <c r="M13" i="4" s="1"/>
  <c r="L6" i="4"/>
  <c r="L5" i="4"/>
  <c r="K13" i="4"/>
  <c r="C9" i="4"/>
  <c r="C10" i="4"/>
  <c r="C8" i="4"/>
  <c r="C7" i="4"/>
  <c r="C6" i="4"/>
  <c r="C5" i="4"/>
  <c r="D10" i="3"/>
  <c r="H7" i="3"/>
  <c r="D13" i="3"/>
  <c r="G7" i="3"/>
  <c r="D14" i="3"/>
  <c r="D31" i="3"/>
  <c r="D30" i="3"/>
  <c r="I28" i="3"/>
  <c r="I24" i="3"/>
  <c r="I21" i="3"/>
  <c r="I22" i="3"/>
  <c r="I23" i="3"/>
  <c r="I25" i="3"/>
  <c r="I26" i="3"/>
  <c r="I27" i="3"/>
  <c r="I20" i="3"/>
  <c r="H28" i="3"/>
  <c r="H26" i="3"/>
  <c r="H25" i="3"/>
  <c r="H21" i="3"/>
  <c r="F28" i="3"/>
  <c r="G28" i="3"/>
  <c r="G21" i="3"/>
  <c r="F21" i="3"/>
  <c r="F22" i="3"/>
  <c r="F25" i="3"/>
  <c r="G26" i="3"/>
  <c r="F26" i="3"/>
  <c r="G25" i="3"/>
  <c r="G23" i="3"/>
  <c r="F23" i="3"/>
  <c r="G22" i="3"/>
  <c r="G20" i="3"/>
  <c r="F20" i="3"/>
  <c r="E6" i="1"/>
  <c r="F4" i="3"/>
  <c r="F5" i="3"/>
  <c r="F6" i="3"/>
  <c r="F3" i="3"/>
  <c r="F7" i="3" s="1"/>
  <c r="E3" i="1"/>
  <c r="E7" i="1"/>
  <c r="E5" i="1"/>
  <c r="E4" i="1"/>
  <c r="L13" i="4" l="1"/>
  <c r="N5" i="4"/>
  <c r="N6" i="4"/>
  <c r="N13" i="4" l="1"/>
</calcChain>
</file>

<file path=xl/sharedStrings.xml><?xml version="1.0" encoding="utf-8"?>
<sst xmlns="http://schemas.openxmlformats.org/spreadsheetml/2006/main" count="115" uniqueCount="81">
  <si>
    <t>S  =</t>
  </si>
  <si>
    <t>Plazo de devolución D (días)</t>
  </si>
  <si>
    <t>Umbral de aprobación general U</t>
  </si>
  <si>
    <t>Volumen mensual V (solicitudes)</t>
  </si>
  <si>
    <t>Retiro en tienda</t>
  </si>
  <si>
    <t>Parámetro</t>
  </si>
  <si>
    <t>Regla</t>
  </si>
  <si>
    <t>Qué significa</t>
  </si>
  <si>
    <t>Toda devolución cuya boleta supere U
requiere el visto bueno del Gerente
Comercial</t>
  </si>
  <si>
    <t>Días corridos desde la compra dentro
de los cuales se acepta la solicitud</t>
  </si>
  <si>
    <t>Tasa de productos dañados d</t>
  </si>
  <si>
    <t>Fracción de los productos recibidos que
llegan con daño</t>
  </si>
  <si>
    <t>Solicitudes de devolución recibidas al
mes en el canal online</t>
  </si>
  <si>
    <t xml:space="preserve"> 1: el cliente puede dejar el producto en
sucursal. 0: sólo retiro por courier</t>
  </si>
  <si>
    <t>N/A</t>
  </si>
  <si>
    <t>Rechazo Inicial</t>
  </si>
  <si>
    <t>Productoi sin daño</t>
  </si>
  <si>
    <t>Reparable</t>
  </si>
  <si>
    <t>Irrecuperable</t>
  </si>
  <si>
    <t>Total/promedio</t>
  </si>
  <si>
    <t>Ruta proceso</t>
  </si>
  <si>
    <t>Descripción ruta</t>
  </si>
  <si>
    <t>Probabilidad</t>
  </si>
  <si>
    <t>Solicitudes/mes</t>
  </si>
  <si>
    <t>Rechazo por plazo en Atención Nivel 1</t>
  </si>
  <si>
    <t>Aprobada luego Andesexpress, bodega y Finanzas</t>
  </si>
  <si>
    <t>Aprobada, luego Andesexpress, taller (120hr) y finanzas</t>
  </si>
  <si>
    <t>Aprobada, luego Andesexpress, dar de baja y Finanzas</t>
  </si>
  <si>
    <t>Proceso AS-IS</t>
  </si>
  <si>
    <t>Tiempo ciclo (hr)</t>
  </si>
  <si>
    <t>Tiempo trabajo (hr)</t>
  </si>
  <si>
    <t>TL prom (hr)</t>
  </si>
  <si>
    <t>Índice de Eficiencia del Ciclo (CEI)</t>
  </si>
  <si>
    <t>CEI</t>
  </si>
  <si>
    <t>Cuantificación horas-persona y costos</t>
  </si>
  <si>
    <t>Rol</t>
  </si>
  <si>
    <t>Solicitudes</t>
  </si>
  <si>
    <t>horas-persona mes</t>
  </si>
  <si>
    <t xml:space="preserve">Total proceso </t>
  </si>
  <si>
    <t>Tiempo de ciclo promedio ponderado</t>
  </si>
  <si>
    <t>Actividades a considerar</t>
  </si>
  <si>
    <t xml:space="preserve">Atención Nivel 1 (Camila) </t>
  </si>
  <si>
    <t xml:space="preserve">Gerencia comercial </t>
  </si>
  <si>
    <t xml:space="preserve">Bodega (Patricia) </t>
  </si>
  <si>
    <t xml:space="preserve">Finanzas (Sebastián) </t>
  </si>
  <si>
    <t>Registrar (12m) + Verificar (8m) + Fotos (5m) + Agendar (15m) + Sol. Gerencia (6m)</t>
  </si>
  <si>
    <t>Revisar y autorizar</t>
  </si>
  <si>
    <t>Resolver aprobación gerencial</t>
  </si>
  <si>
    <t>Inspección papel (25m) + Digitar WMS (10m)</t>
  </si>
  <si>
    <t>Revalidar (9m) + Emitir reembolso lote (14m)</t>
  </si>
  <si>
    <t>Supervisor (Rodrigo)</t>
  </si>
  <si>
    <t>211 (superan U)</t>
  </si>
  <si>
    <t>Taller</t>
  </si>
  <si>
    <t xml:space="preserve">Reacondicionar en taller </t>
  </si>
  <si>
    <t>Comisión por transacción (pagos)</t>
  </si>
  <si>
    <t>Minutos totales /mes</t>
  </si>
  <si>
    <t>costo /tarifa unitaro ($)</t>
  </si>
  <si>
    <t xml:space="preserve">Pasarela de pago </t>
  </si>
  <si>
    <t xml:space="preserve">Retiro </t>
  </si>
  <si>
    <t>Recepción presencial</t>
  </si>
  <si>
    <t>Costo total mensual ($)</t>
  </si>
  <si>
    <t>Costo mensual total Proceso ($)</t>
  </si>
  <si>
    <t>Costo por solicitud recibida ($)</t>
  </si>
  <si>
    <t>Cuantificación Estimada del Impacto (AS-IS vs. TO-BE)</t>
  </si>
  <si>
    <t>Valor AS-IS</t>
  </si>
  <si>
    <t>Indicador/métrica</t>
  </si>
  <si>
    <t>Valor proyectado  TO-BE</t>
  </si>
  <si>
    <t>Impacto/Mejora esperada</t>
  </si>
  <si>
    <t>TL prom</t>
  </si>
  <si>
    <t>Tiempo trabajo prom</t>
  </si>
  <si>
    <t>Eficiencia ciclo (CEI)</t>
  </si>
  <si>
    <t>Costo por solicitud ($)</t>
  </si>
  <si>
    <t>Ttrabajo prom (hr)</t>
  </si>
  <si>
    <t>Cuantificación horas-persona y costos Modelo TO BE</t>
  </si>
  <si>
    <t xml:space="preserve">Registrar (12m) + Verificar (8m) + Fotos (5m) + Agendar (15m) </t>
  </si>
  <si>
    <t xml:space="preserve"> Digitalización total (10m)</t>
  </si>
  <si>
    <t>Resolver aprobación gerencial, automatización (0 min)</t>
  </si>
  <si>
    <t>Revalidaión rápida (9min)</t>
  </si>
  <si>
    <t>Interpretación</t>
  </si>
  <si>
    <t>Disminución</t>
  </si>
  <si>
    <t>Aumento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</si>
</sst>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2" fontId="0" fillId="0" borderId="0" xfId="0" applyNumberFormat="1"/>
    <xf numFmtId="2" fontId="0" fillId="0" borderId="1" xfId="0" applyNumberFormat="1" applyBorder="1"/>
    <xf numFmtId="9" fontId="0" fillId="0" borderId="1" xfId="1" applyFont="1" applyBorder="1"/>
    <xf numFmtId="1" fontId="0" fillId="0" borderId="1" xfId="0" applyNumberFormat="1" applyBorder="1"/>
    <xf numFmtId="10" fontId="0" fillId="0" borderId="0" xfId="1" applyNumberFormat="1" applyFont="1"/>
    <xf numFmtId="1" fontId="0" fillId="0" borderId="1" xfId="1" applyNumberFormat="1" applyFont="1" applyBorder="1"/>
    <xf numFmtId="1" fontId="0" fillId="0" borderId="0" xfId="0" applyNumberFormat="1"/>
    <xf numFmtId="10" fontId="0" fillId="0" borderId="1" xfId="1" applyNumberFormat="1" applyFont="1" applyBorder="1"/>
    <xf numFmtId="164" fontId="0" fillId="0" borderId="1" xfId="1" applyNumberFormat="1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752474</xdr:colOff>
      <xdr:row>2</xdr:row>
      <xdr:rowOff>128587</xdr:rowOff>
    </xdr:from>
    <xdr:to>
      <xdr:col>16</xdr:col>
      <xdr:colOff>361949</xdr:colOff>
      <xdr:row>6</xdr:row>
      <xdr:rowOff>285751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F7B8746-391A-E545-DC60-0330AD7EFABE}"/>
            </a:ext>
          </a:extLst>
        </xdr:cNvPr>
        <xdr:cNvSpPr txBox="1"/>
      </xdr:nvSpPr>
      <xdr:spPr>
        <a:xfrm>
          <a:off x="10915649" y="509587"/>
          <a:ext cx="7229475" cy="18716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419"/>
        </a:p>
        <a:p>
          <a:r>
            <a:rPr lang="es-419"/>
            <a:t>Estas dos distribuciones son iguales para todos y no dependen de S. Sirven para calcular qué fracción del volumen cae en cada rama</a:t>
          </a:r>
        </a:p>
        <a:p>
          <a:endParaRPr lang="es-419"/>
        </a:p>
        <a:p>
          <a:r>
            <a:rPr lang="es-419" b="1"/>
            <a:t>Días entre la compra y la solicitud: </a:t>
          </a:r>
          <a:r>
            <a:rPr lang="es-419"/>
            <a:t>0 a 5, un 30 %; 6 a 10, un 26 %; 11 a 15, un 18 %; 16 a 20, un 14 %; 21 a 30, un 12 %.</a:t>
          </a:r>
        </a:p>
        <a:p>
          <a:endParaRPr lang="es-419" sz="1100"/>
        </a:p>
        <a:p>
          <a:r>
            <a:rPr lang="es-419" b="1"/>
            <a:t>Monto de la boleta: </a:t>
          </a:r>
          <a:r>
            <a:rPr lang="es-419"/>
            <a:t>$20.000 a $60.000, un 20 %; $60.000 a $100.000, un 28 %; $100.000 a $150.000, un 24 %; $150.000 a $250.000, un 18 %; $250.000 a $400.000, un 10 %.</a:t>
          </a:r>
          <a:endParaRPr lang="es-419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733425</xdr:colOff>
      <xdr:row>32</xdr:row>
      <xdr:rowOff>90488</xdr:rowOff>
    </xdr:from>
    <xdr:to>
      <xdr:col>12</xdr:col>
      <xdr:colOff>0</xdr:colOff>
      <xdr:row>51</xdr:row>
      <xdr:rowOff>95250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CF8F99F8-1C9C-3C7D-199A-EF29ABD6AA23}"/>
                </a:ext>
              </a:extLst>
            </xdr:cNvPr>
            <xdr:cNvSpPr txBox="1"/>
          </xdr:nvSpPr>
          <xdr:spPr>
            <a:xfrm>
              <a:off x="1495425" y="6186488"/>
              <a:ext cx="17011650" cy="362426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>
                <a:buNone/>
              </a:pPr>
              <a:r>
                <a:rPr lang="es-419" b="1">
                  <a:effectLst/>
                  <a:latin typeface="Google Sans Text"/>
                </a:rPr>
                <a:t>Problema 1: Procesamiento por Lotes Semanales en Finanzas</a:t>
              </a:r>
              <a:endParaRPr lang="es-419">
                <a:effectLst/>
                <a:latin typeface="Google Sans Text"/>
              </a:endParaRPr>
            </a:p>
            <a:p>
              <a:pPr marL="342900" lvl="0" indent="-342900" algn="l">
                <a:buFont typeface="Arial" panose="020B0604020202020204" pitchFamily="34" charset="0"/>
                <a:buChar char="•"/>
              </a:pPr>
              <a:r>
                <a:rPr lang="es-419" b="1">
                  <a:effectLst/>
                  <a:latin typeface="Google Sans Text"/>
                </a:rPr>
                <a:t>Tipo:</a:t>
              </a:r>
              <a:r>
                <a:rPr lang="es-419">
                  <a:effectLst/>
                  <a:latin typeface="Google Sans Text"/>
                </a:rPr>
                <a:t> Espera.</a:t>
              </a:r>
            </a:p>
            <a:p>
              <a:pPr marL="342900" lvl="0" indent="-342900" algn="l">
                <a:buFont typeface="Arial" panose="020B0604020202020204" pitchFamily="34" charset="0"/>
                <a:buChar char="•"/>
              </a:pPr>
              <a:r>
                <a:rPr lang="es-419" b="1">
                  <a:effectLst/>
                  <a:latin typeface="Google Sans Text"/>
                </a:rPr>
                <a:t>Evidencia en el Modelo AS-IS:</a:t>
              </a:r>
              <a:r>
                <a:rPr lang="es-419">
                  <a:effectLst/>
                  <a:latin typeface="Google Sans Text"/>
                </a:rPr>
                <a:t> Evento Intermedio de Tiempo de </a:t>
              </a:r>
              <a:r>
                <a:rPr lang="es-419" b="1">
                  <a:effectLst/>
                  <a:latin typeface="Google Sans Text"/>
                </a:rPr>
                <a:t>84 horas</a:t>
              </a:r>
              <a:r>
                <a:rPr lang="es-419">
                  <a:effectLst/>
                  <a:latin typeface="Google Sans Text"/>
                </a:rPr>
                <a:t> ubicado en la lane de Finanzas justo antes de la tarea Emitir el reembolso (lote).</a:t>
              </a:r>
            </a:p>
            <a:p>
              <a:pPr marL="342900" lvl="0" indent="-342900" algn="l">
                <a:buFont typeface="Arial" panose="020B0604020202020204" pitchFamily="34" charset="0"/>
                <a:buChar char="•"/>
              </a:pPr>
              <a:r>
                <a:rPr lang="es-419" b="1">
                  <a:effectLst/>
                  <a:latin typeface="Google Sans Text"/>
                </a:rPr>
                <a:t>Impacto Cuantificado:</a:t>
              </a:r>
              <a:endParaRPr lang="es-419">
                <a:effectLst/>
                <a:latin typeface="Google Sans Text"/>
              </a:endParaRPr>
            </a:p>
            <a:p>
              <a:pPr marL="742950" lvl="1" indent="-285750" algn="l">
                <a:buFont typeface="Arial" panose="020B0604020202020204" pitchFamily="34" charset="0"/>
                <a:buChar char="•"/>
              </a:pPr>
              <a:r>
                <a:rPr lang="es-419" b="1">
                  <a:effectLst/>
                  <a:latin typeface="Google Sans Text"/>
                </a:rPr>
                <a:t>Horas de ciclo:</a:t>
              </a:r>
              <a:r>
                <a:rPr lang="es-419">
                  <a:effectLst/>
                  <a:latin typeface="Google Sans Text"/>
                </a:rPr>
                <a:t> Agrega </a:t>
              </a:r>
              <a:r>
                <a:rPr lang="es-419" b="1">
                  <a:effectLst/>
                  <a:latin typeface="Google Sans Text"/>
                </a:rPr>
                <a:t>84 horas de tiempo muerto</a:t>
              </a:r>
              <a:r>
                <a:rPr lang="es-419">
                  <a:effectLst/>
                  <a:latin typeface="Google Sans Text"/>
                </a:rPr>
                <a:t> a cada solicitud reembolsada, representando el </a:t>
              </a:r>
              <a14:m>
                <m:oMath xmlns:m="http://schemas.openxmlformats.org/officeDocument/2006/math">
                  <m:r>
                    <a:rPr lang="es-419">
                      <a:latin typeface="Cambria Math" panose="02040503050406030204" pitchFamily="18" charset="0"/>
                    </a:rPr>
                    <m:t>35</m:t>
                  </m:r>
                  <m:r>
                    <a:rPr lang="es-419" i="0">
                      <a:latin typeface="Cambria Math" panose="02040503050406030204" pitchFamily="18" charset="0"/>
                    </a:rPr>
                    <m:t>,6%</m:t>
                  </m:r>
                </m:oMath>
              </a14:m>
              <a:r>
                <a:rPr lang="es-419">
                  <a:effectLst/>
                  <a:latin typeface="Google Sans Text"/>
                </a:rPr>
                <a:t>del tiempo total del ciclo (</a:t>
              </a:r>
              <a14:m>
                <m:oMath xmlns:m="http://schemas.openxmlformats.org/officeDocument/2006/math">
                  <m:r>
                    <a:rPr lang="es-419" i="1">
                      <a:latin typeface="Cambria Math" panose="02040503050406030204" pitchFamily="18" charset="0"/>
                    </a:rPr>
                    <m:t>𝑇𝐿</m:t>
                  </m:r>
                  <m:r>
                    <a:rPr lang="es-419" i="0">
                      <a:latin typeface="Cambria Math" panose="02040503050406030204" pitchFamily="18" charset="0"/>
                    </a:rPr>
                    <m:t>=235,82</m:t>
                  </m:r>
                  <m:r>
                    <m:rPr>
                      <m:nor/>
                    </m:rPr>
                    <a:rPr lang="es-419" i="0">
                      <a:latin typeface="Cambria Math" panose="02040503050406030204" pitchFamily="18" charset="0"/>
                    </a:rPr>
                    <m:t> h</m:t>
                  </m:r>
                </m:oMath>
              </a14:m>
              <a:r>
                <a:rPr lang="es-419">
                  <a:effectLst/>
                  <a:latin typeface="Google Sans Text"/>
                </a:rPr>
                <a:t>).</a:t>
              </a:r>
            </a:p>
            <a:p>
              <a:pPr marL="742950" lvl="1" indent="-285750" algn="l">
                <a:buFont typeface="Arial" panose="020B0604020202020204" pitchFamily="34" charset="0"/>
                <a:buChar char="•"/>
              </a:pPr>
              <a:r>
                <a:rPr lang="es-419" b="1">
                  <a:effectLst/>
                  <a:latin typeface="Google Sans Text"/>
                </a:rPr>
                <a:t>Pesos al mes:</a:t>
              </a:r>
              <a:r>
                <a:rPr lang="es-419">
                  <a:effectLst/>
                  <a:latin typeface="Google Sans Text"/>
                </a:rPr>
                <a:t> Retiene la liquidez de </a:t>
              </a:r>
              <a:r>
                <a:rPr lang="es-419" b="1">
                  <a:effectLst/>
                  <a:latin typeface="Google Sans Text"/>
                </a:rPr>
                <a:t>284 clientes al mes</a:t>
              </a:r>
              <a:r>
                <a:rPr lang="es-419">
                  <a:effectLst/>
                  <a:latin typeface="Google Sans Text"/>
                </a:rPr>
                <a:t> durante un promedio de </a:t>
              </a:r>
              <a14:m>
                <m:oMath xmlns:m="http://schemas.openxmlformats.org/officeDocument/2006/math">
                  <m:r>
                    <a:rPr lang="es-419">
                      <a:latin typeface="Cambria Math" panose="02040503050406030204" pitchFamily="18" charset="0"/>
                    </a:rPr>
                    <m:t>3</m:t>
                  </m:r>
                  <m:r>
                    <a:rPr lang="es-419" i="0">
                      <a:latin typeface="Cambria Math" panose="02040503050406030204" pitchFamily="18" charset="0"/>
                    </a:rPr>
                    <m:t>,5</m:t>
                  </m:r>
                </m:oMath>
              </a14:m>
              <a:r>
                <a:rPr lang="es-419">
                  <a:effectLst/>
                  <a:latin typeface="Google Sans Text"/>
                </a:rPr>
                <a:t>días por semana, incrementando las consultas en Atención al Cliente.</a:t>
              </a:r>
            </a:p>
            <a:p>
              <a:pPr marL="742950" lvl="1" indent="-285750" algn="l">
                <a:buFont typeface="Arial" panose="020B0604020202020204" pitchFamily="34" charset="0"/>
                <a:buChar char="•"/>
              </a:pPr>
              <a:endParaRPr lang="es-419">
                <a:effectLst/>
                <a:latin typeface="Google Sans Text"/>
              </a:endParaRPr>
            </a:p>
            <a:p>
              <a:pPr algn="l">
                <a:buNone/>
              </a:pPr>
              <a:r>
                <a:rPr lang="es-419" b="1">
                  <a:effectLst/>
                  <a:latin typeface="Google Sans Text"/>
                </a:rPr>
                <a:t>Problema 2: Sobrecarga Ejecutiva por Umbral Bajo (</a:t>
              </a:r>
              <a14:m>
                <m:oMath xmlns:m="http://schemas.openxmlformats.org/officeDocument/2006/math">
                  <m:r>
                    <a:rPr lang="es-419" i="1">
                      <a:latin typeface="Cambria Math" panose="02040503050406030204" pitchFamily="18" charset="0"/>
                    </a:rPr>
                    <m:t>𝑈</m:t>
                  </m:r>
                  <m:r>
                    <a:rPr lang="es-419" i="0">
                      <a:latin typeface="Cambria Math" panose="02040503050406030204" pitchFamily="18" charset="0"/>
                    </a:rPr>
                    <m:t>=$30.000</m:t>
                  </m:r>
                </m:oMath>
              </a14:m>
              <a:r>
                <a:rPr lang="es-419" b="1">
                  <a:effectLst/>
                  <a:latin typeface="Google Sans Text"/>
                </a:rPr>
                <a:t>)</a:t>
              </a:r>
              <a:endParaRPr lang="es-419">
                <a:effectLst/>
                <a:latin typeface="Google Sans Text"/>
              </a:endParaRPr>
            </a:p>
            <a:p>
              <a:pPr marL="342900" lvl="0" indent="-342900" algn="l">
                <a:buFont typeface="Arial" panose="020B0604020202020204" pitchFamily="34" charset="0"/>
                <a:buChar char="•"/>
              </a:pPr>
              <a:r>
                <a:rPr lang="es-419" b="1">
                  <a:effectLst/>
                  <a:latin typeface="Google Sans Text"/>
                </a:rPr>
                <a:t>Tipo:</a:t>
              </a:r>
              <a:r>
                <a:rPr lang="es-419">
                  <a:effectLst/>
                  <a:latin typeface="Google Sans Text"/>
                </a:rPr>
                <a:t> Decisión tardía / Cuello de botella en jefatura.</a:t>
              </a:r>
            </a:p>
            <a:p>
              <a:pPr marL="342900" lvl="0" indent="-342900" algn="l">
                <a:buFont typeface="Arial" panose="020B0604020202020204" pitchFamily="34" charset="0"/>
                <a:buChar char="•"/>
              </a:pPr>
              <a:r>
                <a:rPr lang="es-419" b="1">
                  <a:effectLst/>
                  <a:latin typeface="Google Sans Text"/>
                </a:rPr>
                <a:t>Evidencia en el Modelo AS-IS:</a:t>
              </a:r>
              <a:r>
                <a:rPr lang="es-419">
                  <a:effectLst/>
                  <a:latin typeface="Google Sans Text"/>
                </a:rPr>
                <a:t> Tarea "Resolver la aprobación" en la lane de Gerencia Comercial, precedida por el reloj de </a:t>
              </a:r>
              <a:r>
                <a:rPr lang="es-419" b="1">
                  <a:effectLst/>
                  <a:latin typeface="Google Sans Text"/>
                </a:rPr>
                <a:t>48 h</a:t>
              </a:r>
              <a:r>
                <a:rPr lang="es-419">
                  <a:effectLst/>
                  <a:latin typeface="Google Sans Text"/>
                </a:rPr>
                <a:t> + </a:t>
              </a:r>
              <a:r>
                <a:rPr lang="es-419" b="1">
                  <a:effectLst/>
                  <a:latin typeface="Google Sans Text"/>
                </a:rPr>
                <a:t>4 h</a:t>
              </a:r>
              <a:r>
                <a:rPr lang="es-419">
                  <a:effectLst/>
                  <a:latin typeface="Google Sans Text"/>
                </a:rPr>
                <a:t> de revisión.</a:t>
              </a:r>
            </a:p>
            <a:p>
              <a:pPr marL="342900" lvl="0" indent="-342900" algn="l">
                <a:buFont typeface="Arial" panose="020B0604020202020204" pitchFamily="34" charset="0"/>
                <a:buChar char="•"/>
              </a:pPr>
              <a:r>
                <a:rPr lang="es-419" b="1">
                  <a:effectLst/>
                  <a:latin typeface="Google Sans Text"/>
                </a:rPr>
                <a:t>Impacto Cuantificado:</a:t>
              </a:r>
              <a:endParaRPr lang="es-419">
                <a:effectLst/>
                <a:latin typeface="Google Sans Text"/>
              </a:endParaRPr>
            </a:p>
            <a:p>
              <a:pPr marL="742950" lvl="1" indent="-285750" algn="l">
                <a:buFont typeface="Arial" panose="020B0604020202020204" pitchFamily="34" charset="0"/>
                <a:buChar char="•"/>
              </a:pPr>
              <a:r>
                <a:rPr lang="es-419" b="1">
                  <a:effectLst/>
                  <a:latin typeface="Google Sans Text"/>
                </a:rPr>
                <a:t>Horas-persona al mes:</a:t>
              </a:r>
              <a:r>
                <a:rPr lang="es-419">
                  <a:effectLst/>
                  <a:latin typeface="Google Sans Text"/>
                </a:rPr>
                <a:t> Al bajar el umbral a </a:t>
              </a:r>
              <a14:m>
                <m:oMath xmlns:m="http://schemas.openxmlformats.org/officeDocument/2006/math">
                  <m:r>
                    <a:rPr lang="es-419">
                      <a:latin typeface="Cambria Math" panose="02040503050406030204" pitchFamily="18" charset="0"/>
                    </a:rPr>
                    <m:t>$</m:t>
                  </m:r>
                  <m:r>
                    <a:rPr lang="es-419" i="0">
                      <a:latin typeface="Cambria Math" panose="02040503050406030204" pitchFamily="18" charset="0"/>
                    </a:rPr>
                    <m:t>30.000</m:t>
                  </m:r>
                </m:oMath>
              </a14:m>
              <a:r>
                <a:rPr lang="es-419">
                  <a:effectLst/>
                  <a:latin typeface="Google Sans Text"/>
                </a:rPr>
                <a:t>, la demanda gerencial sube a </a:t>
              </a:r>
              <a:r>
                <a:rPr lang="es-419" b="1">
                  <a:effectLst/>
                  <a:latin typeface="Google Sans Text"/>
                </a:rPr>
                <a:t>211 solicitudes/mes</a:t>
              </a:r>
              <a:r>
                <a:rPr lang="es-419">
                  <a:effectLst/>
                  <a:latin typeface="Google Sans Text"/>
                </a:rPr>
                <a:t>, consumiendo </a:t>
              </a:r>
              <a14:m>
                <m:oMath xmlns:m="http://schemas.openxmlformats.org/officeDocument/2006/math">
                  <m:r>
                    <a:rPr lang="es-419">
                      <a:latin typeface="Cambria Math" panose="02040503050406030204" pitchFamily="18" charset="0"/>
                    </a:rPr>
                    <m:t>28</m:t>
                  </m:r>
                  <m:r>
                    <a:rPr lang="es-419" i="0">
                      <a:latin typeface="Cambria Math" panose="02040503050406030204" pitchFamily="18" charset="0"/>
                    </a:rPr>
                    <m:t>,13</m:t>
                  </m:r>
                  <m:r>
                    <m:rPr>
                      <m:nor/>
                    </m:rPr>
                    <a:rPr lang="es-419" i="0">
                      <a:latin typeface="Cambria Math" panose="02040503050406030204" pitchFamily="18" charset="0"/>
                    </a:rPr>
                    <m:t> h−p/mes</m:t>
                  </m:r>
                </m:oMath>
              </a14:m>
              <a:r>
                <a:rPr lang="es-419">
                  <a:effectLst/>
                  <a:latin typeface="Google Sans Text"/>
                </a:rPr>
                <a:t> del Gerente Comercial.</a:t>
              </a:r>
            </a:p>
            <a:p>
              <a:pPr marL="742950" lvl="1" indent="-285750" algn="l">
                <a:buFont typeface="Arial" panose="020B0604020202020204" pitchFamily="34" charset="0"/>
                <a:buChar char="•"/>
              </a:pPr>
              <a:r>
                <a:rPr lang="es-419" b="1">
                  <a:effectLst/>
                  <a:latin typeface="Google Sans Text"/>
                </a:rPr>
                <a:t>Pesos al mes:</a:t>
              </a:r>
              <a:r>
                <a:rPr lang="es-419">
                  <a:effectLst/>
                  <a:latin typeface="Google Sans Text"/>
                </a:rPr>
                <a:t> Genera un costo administrativo ejecutivo de </a:t>
              </a:r>
              <a14:m>
                <m:oMath xmlns:m="http://schemas.openxmlformats.org/officeDocument/2006/math">
                  <m:r>
                    <a:rPr lang="es-419">
                      <a:latin typeface="Cambria Math" panose="02040503050406030204" pitchFamily="18" charset="0"/>
                    </a:rPr>
                    <m:t>$</m:t>
                  </m:r>
                  <m:r>
                    <a:rPr lang="es-419" i="0">
                      <a:latin typeface="Cambria Math" panose="02040503050406030204" pitchFamily="18" charset="0"/>
                    </a:rPr>
                    <m:t>506.400</m:t>
                  </m:r>
                  <m:r>
                    <m:rPr>
                      <m:nor/>
                    </m:rPr>
                    <a:rPr lang="es-419" i="0">
                      <a:latin typeface="Cambria Math" panose="02040503050406030204" pitchFamily="18" charset="0"/>
                    </a:rPr>
                    <m:t> CLP/mes</m:t>
                  </m:r>
                </m:oMath>
              </a14:m>
              <a:r>
                <a:rPr lang="es-419">
                  <a:effectLst/>
                  <a:latin typeface="Google Sans Text"/>
                </a:rPr>
                <a:t>(</a:t>
              </a:r>
              <a14:m>
                <m:oMath xmlns:m="http://schemas.openxmlformats.org/officeDocument/2006/math">
                  <m:r>
                    <a:rPr lang="es-419">
                      <a:latin typeface="Cambria Math" panose="02040503050406030204" pitchFamily="18" charset="0"/>
                    </a:rPr>
                    <m:t>28</m:t>
                  </m:r>
                  <m:r>
                    <a:rPr lang="es-419" i="0">
                      <a:latin typeface="Cambria Math" panose="02040503050406030204" pitchFamily="18" charset="0"/>
                    </a:rPr>
                    <m:t>,13</m:t>
                  </m:r>
                  <m:r>
                    <m:rPr>
                      <m:nor/>
                    </m:rPr>
                    <a:rPr lang="es-419" i="0">
                      <a:latin typeface="Cambria Math" panose="02040503050406030204" pitchFamily="18" charset="0"/>
                    </a:rPr>
                    <m:t> h−p</m:t>
                  </m:r>
                  <m:r>
                    <a:rPr lang="es-419" i="0">
                      <a:latin typeface="Cambria Math" panose="02040503050406030204" pitchFamily="18" charset="0"/>
                    </a:rPr>
                    <m:t>×$18.000</m:t>
                  </m:r>
                  <m:r>
                    <m:rPr>
                      <m:nor/>
                    </m:rPr>
                    <a:rPr lang="es-419" i="0">
                      <a:latin typeface="Cambria Math" panose="02040503050406030204" pitchFamily="18" charset="0"/>
                    </a:rPr>
                    <m:t>/h</m:t>
                  </m:r>
                </m:oMath>
              </a14:m>
              <a:r>
                <a:rPr lang="es-419">
                  <a:effectLst/>
                  <a:latin typeface="Google Sans Text"/>
                </a:rPr>
                <a:t>) por validar montos menores que podrían automatizarse</a:t>
              </a:r>
            </a:p>
            <a:p>
              <a:pPr marL="742950" lvl="1" indent="-285750" algn="l">
                <a:buFont typeface="Arial" panose="020B0604020202020204" pitchFamily="34" charset="0"/>
                <a:buChar char="•"/>
              </a:pPr>
              <a:endParaRPr lang="es-419">
                <a:effectLst/>
                <a:latin typeface="Google Sans Text"/>
              </a:endParaRPr>
            </a:p>
            <a:p>
              <a:pPr algn="l">
                <a:buNone/>
              </a:pPr>
              <a:r>
                <a:rPr lang="es-419" b="1">
                  <a:effectLst/>
                  <a:latin typeface="Google Sans Text"/>
                </a:rPr>
                <a:t>Problema 3: Redundancia en Registro Físico vs. Digital y Discrepancias</a:t>
              </a:r>
              <a:endParaRPr lang="es-419">
                <a:effectLst/>
                <a:latin typeface="Google Sans Text"/>
              </a:endParaRPr>
            </a:p>
            <a:p>
              <a:pPr marL="342900" lvl="0" indent="-342900" algn="l">
                <a:buFont typeface="Arial" panose="020B0604020202020204" pitchFamily="34" charset="0"/>
                <a:buChar char="•"/>
              </a:pPr>
              <a:r>
                <a:rPr lang="es-419" b="1">
                  <a:effectLst/>
                  <a:latin typeface="Google Sans Text"/>
                </a:rPr>
                <a:t>Tipo:</a:t>
              </a:r>
              <a:r>
                <a:rPr lang="es-419">
                  <a:effectLst/>
                  <a:latin typeface="Google Sans Text"/>
                </a:rPr>
                <a:t> Traspaso manual / Control redundante / Reproceso.</a:t>
              </a:r>
            </a:p>
            <a:p>
              <a:pPr marL="342900" lvl="0" indent="-342900" algn="l">
                <a:buFont typeface="Arial" panose="020B0604020202020204" pitchFamily="34" charset="0"/>
                <a:buChar char="•"/>
              </a:pPr>
              <a:r>
                <a:rPr lang="es-419" b="1">
                  <a:effectLst/>
                  <a:latin typeface="Google Sans Text"/>
                </a:rPr>
                <a:t>Evidencia en el Modelo AS-IS:</a:t>
              </a:r>
              <a:r>
                <a:rPr lang="es-419">
                  <a:effectLst/>
                  <a:latin typeface="Google Sans Text"/>
                </a:rPr>
                <a:t> Tarea Inspeccionar (ficha de papel) (</a:t>
              </a:r>
              <a14:m>
                <m:oMath xmlns:m="http://schemas.openxmlformats.org/officeDocument/2006/math">
                  <m:r>
                    <a:rPr lang="es-419">
                      <a:latin typeface="Cambria Math" panose="02040503050406030204" pitchFamily="18" charset="0"/>
                    </a:rPr>
                    <m:t>25</m:t>
                  </m:r>
                  <m:r>
                    <m:rPr>
                      <m:nor/>
                    </m:rPr>
                    <a:rPr lang="es-419" i="0">
                      <a:latin typeface="Cambria Math" panose="02040503050406030204" pitchFamily="18" charset="0"/>
                    </a:rPr>
                    <m:t> min</m:t>
                  </m:r>
                </m:oMath>
              </a14:m>
              <a:r>
                <a:rPr lang="es-419">
                  <a:effectLst/>
                  <a:latin typeface="Google Sans Text"/>
                </a:rPr>
                <a:t>) en Bodega, separada por un reloj de </a:t>
              </a:r>
              <a:r>
                <a:rPr lang="es-419" b="1">
                  <a:effectLst/>
                  <a:latin typeface="Google Sans Text"/>
                </a:rPr>
                <a:t>12 h</a:t>
              </a:r>
              <a:r>
                <a:rPr lang="es-419">
                  <a:effectLst/>
                  <a:latin typeface="Google Sans Text"/>
                </a:rPr>
                <a:t> de la tarea Digitar en WMS y avisar (</a:t>
              </a:r>
              <a14:m>
                <m:oMath xmlns:m="http://schemas.openxmlformats.org/officeDocument/2006/math">
                  <m:r>
                    <a:rPr lang="es-419">
                      <a:latin typeface="Cambria Math" panose="02040503050406030204" pitchFamily="18" charset="0"/>
                    </a:rPr>
                    <m:t>10</m:t>
                  </m:r>
                  <m:r>
                    <m:rPr>
                      <m:nor/>
                    </m:rPr>
                    <a:rPr lang="es-419" i="0">
                      <a:latin typeface="Cambria Math" panose="02040503050406030204" pitchFamily="18" charset="0"/>
                    </a:rPr>
                    <m:t> min</m:t>
                  </m:r>
                </m:oMath>
              </a14:m>
              <a:r>
                <a:rPr lang="es-419">
                  <a:effectLst/>
                  <a:latin typeface="Google Sans Text"/>
                </a:rPr>
                <a:t>).</a:t>
              </a:r>
            </a:p>
            <a:p>
              <a:pPr marL="342900" lvl="0" indent="-342900" algn="l">
                <a:buFont typeface="Arial" panose="020B0604020202020204" pitchFamily="34" charset="0"/>
                <a:buChar char="•"/>
              </a:pPr>
              <a:r>
                <a:rPr lang="es-419" b="1">
                  <a:effectLst/>
                  <a:latin typeface="Google Sans Text"/>
                </a:rPr>
                <a:t>Impacto Cuantificado:</a:t>
              </a:r>
              <a:endParaRPr lang="es-419">
                <a:effectLst/>
                <a:latin typeface="Google Sans Text"/>
              </a:endParaRPr>
            </a:p>
            <a:p>
              <a:pPr marL="742950" lvl="1" indent="-285750" algn="l">
                <a:buFont typeface="Arial" panose="020B0604020202020204" pitchFamily="34" charset="0"/>
                <a:buChar char="•"/>
              </a:pPr>
              <a:r>
                <a:rPr lang="es-419" b="1">
                  <a:effectLst/>
                  <a:latin typeface="Google Sans Text"/>
                </a:rPr>
                <a:t>Horas-persona al mes:</a:t>
              </a:r>
              <a:r>
                <a:rPr lang="es-419">
                  <a:effectLst/>
                  <a:latin typeface="Google Sans Text"/>
                </a:rPr>
                <a:t> Consumo de </a:t>
              </a:r>
              <a14:m>
                <m:oMath xmlns:m="http://schemas.openxmlformats.org/officeDocument/2006/math">
                  <m:r>
                    <a:rPr lang="es-419">
                      <a:latin typeface="Cambria Math" panose="02040503050406030204" pitchFamily="18" charset="0"/>
                    </a:rPr>
                    <m:t>175</m:t>
                  </m:r>
                  <m:r>
                    <a:rPr lang="es-419" i="0">
                      <a:latin typeface="Cambria Math" panose="02040503050406030204" pitchFamily="18" charset="0"/>
                    </a:rPr>
                    <m:t>,58</m:t>
                  </m:r>
                  <m:r>
                    <m:rPr>
                      <m:nor/>
                    </m:rPr>
                    <a:rPr lang="es-419" i="0">
                      <a:latin typeface="Cambria Math" panose="02040503050406030204" pitchFamily="18" charset="0"/>
                    </a:rPr>
                    <m:t> h−p/mes</m:t>
                  </m:r>
                  <m:r>
                    <m:rPr>
                      <m:nor/>
                    </m:rPr>
                    <a:rPr lang="es-419" b="0" i="0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s-419">
                  <a:effectLst/>
                  <a:latin typeface="Google Sans Text"/>
                </a:rPr>
                <a:t>del operario de bodega, sumado al </a:t>
              </a:r>
              <a14:m>
                <m:oMath xmlns:m="http://schemas.openxmlformats.org/officeDocument/2006/math">
                  <m:r>
                    <a:rPr lang="es-419">
                      <a:latin typeface="Cambria Math" panose="02040503050406030204" pitchFamily="18" charset="0"/>
                    </a:rPr>
                    <m:t>9</m:t>
                  </m:r>
                  <m:r>
                    <a:rPr lang="es-419" i="0">
                      <a:latin typeface="Cambria Math" panose="02040503050406030204" pitchFamily="18" charset="0"/>
                    </a:rPr>
                    <m:t>%</m:t>
                  </m:r>
                </m:oMath>
              </a14:m>
              <a:r>
                <a:rPr lang="es-419">
                  <a:effectLst/>
                  <a:latin typeface="Google Sans Text"/>
                </a:rPr>
                <a:t>de casos admisibles (</a:t>
              </a:r>
              <a14:m>
                <m:oMath xmlns:m="http://schemas.openxmlformats.org/officeDocument/2006/math">
                  <m:r>
                    <a:rPr lang="es-419">
                      <a:latin typeface="Cambria Math" panose="02040503050406030204" pitchFamily="18" charset="0"/>
                    </a:rPr>
                    <m:t>27</m:t>
                  </m:r>
                  <m:r>
                    <m:rPr>
                      <m:nor/>
                    </m:rPr>
                    <a:rPr lang="es-419" i="0">
                      <a:latin typeface="Cambria Math" panose="02040503050406030204" pitchFamily="18" charset="0"/>
                    </a:rPr>
                    <m:t> solicitudes/mes</m:t>
                  </m:r>
                </m:oMath>
              </a14:m>
              <a:r>
                <a:rPr lang="es-419">
                  <a:effectLst/>
                  <a:latin typeface="Google Sans Text"/>
                </a:rPr>
                <a:t>) que sufren reprocesos de aclaración.</a:t>
              </a:r>
            </a:p>
            <a:p>
              <a:pPr marL="742950" lvl="1" indent="-285750" algn="l">
                <a:buFont typeface="Arial" panose="020B0604020202020204" pitchFamily="34" charset="0"/>
                <a:buChar char="•"/>
              </a:pPr>
              <a:r>
                <a:rPr lang="es-419" b="1">
                  <a:effectLst/>
                  <a:latin typeface="Google Sans Text"/>
                </a:rPr>
                <a:t>Horas de ciclo:</a:t>
              </a:r>
              <a:r>
                <a:rPr lang="es-419">
                  <a:effectLst/>
                  <a:latin typeface="Google Sans Text"/>
                </a:rPr>
                <a:t> Produce un retraso fijo de </a:t>
              </a:r>
              <a:r>
                <a:rPr lang="es-419" b="1">
                  <a:effectLst/>
                  <a:latin typeface="Google Sans Text"/>
                </a:rPr>
                <a:t>12 horas de cola</a:t>
              </a:r>
              <a:r>
                <a:rPr lang="es-419">
                  <a:effectLst/>
                  <a:latin typeface="Google Sans Text"/>
                </a:rPr>
                <a:t> por lote en bodega (</a:t>
              </a:r>
              <a14:m>
                <m:oMath xmlns:m="http://schemas.openxmlformats.org/officeDocument/2006/math">
                  <m:r>
                    <a:rPr lang="es-419">
                      <a:latin typeface="Cambria Math" panose="02040503050406030204" pitchFamily="18" charset="0"/>
                    </a:rPr>
                    <m:t>3.612</m:t>
                  </m:r>
                  <m:r>
                    <m:rPr>
                      <m:nor/>
                    </m:rPr>
                    <a:rPr lang="es-419" i="0">
                      <a:latin typeface="Cambria Math" panose="02040503050406030204" pitchFamily="18" charset="0"/>
                    </a:rPr>
                    <m:t> horas acumuladas/mes</m:t>
                  </m:r>
                </m:oMath>
              </a14:m>
              <a:r>
                <a:rPr lang="es-419">
                  <a:effectLst/>
                  <a:latin typeface="Google Sans Text"/>
                </a:rPr>
                <a:t>) antes de habilitar el pago en Finanzas.</a:t>
              </a:r>
            </a:p>
            <a:p>
              <a:endParaRPr lang="es-419" sz="110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endParaRPr>
            </a:p>
          </xdr:txBody>
        </xdr:sp>
      </mc:Choice>
      <mc:Fallback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CF8F99F8-1C9C-3C7D-199A-EF29ABD6AA23}"/>
                </a:ext>
              </a:extLst>
            </xdr:cNvPr>
            <xdr:cNvSpPr txBox="1"/>
          </xdr:nvSpPr>
          <xdr:spPr>
            <a:xfrm>
              <a:off x="1495425" y="6186488"/>
              <a:ext cx="17011650" cy="362426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>
                <a:buNone/>
              </a:pPr>
              <a:r>
                <a:rPr lang="es-419" b="1">
                  <a:effectLst/>
                  <a:latin typeface="Google Sans Text"/>
                </a:rPr>
                <a:t>Problema 1: Procesamiento por Lotes Semanales en Finanzas</a:t>
              </a:r>
              <a:endParaRPr lang="es-419">
                <a:effectLst/>
                <a:latin typeface="Google Sans Text"/>
              </a:endParaRPr>
            </a:p>
            <a:p>
              <a:pPr marL="342900" lvl="0" indent="-342900" algn="l">
                <a:buFont typeface="Arial" panose="020B0604020202020204" pitchFamily="34" charset="0"/>
                <a:buChar char="•"/>
              </a:pPr>
              <a:r>
                <a:rPr lang="es-419" b="1">
                  <a:effectLst/>
                  <a:latin typeface="Google Sans Text"/>
                </a:rPr>
                <a:t>Tipo:</a:t>
              </a:r>
              <a:r>
                <a:rPr lang="es-419">
                  <a:effectLst/>
                  <a:latin typeface="Google Sans Text"/>
                </a:rPr>
                <a:t> Espera.</a:t>
              </a:r>
            </a:p>
            <a:p>
              <a:pPr marL="342900" lvl="0" indent="-342900" algn="l">
                <a:buFont typeface="Arial" panose="020B0604020202020204" pitchFamily="34" charset="0"/>
                <a:buChar char="•"/>
              </a:pPr>
              <a:r>
                <a:rPr lang="es-419" b="1">
                  <a:effectLst/>
                  <a:latin typeface="Google Sans Text"/>
                </a:rPr>
                <a:t>Evidencia en el Modelo AS-IS:</a:t>
              </a:r>
              <a:r>
                <a:rPr lang="es-419">
                  <a:effectLst/>
                  <a:latin typeface="Google Sans Text"/>
                </a:rPr>
                <a:t> Evento Intermedio de Tiempo de </a:t>
              </a:r>
              <a:r>
                <a:rPr lang="es-419" b="1">
                  <a:effectLst/>
                  <a:latin typeface="Google Sans Text"/>
                </a:rPr>
                <a:t>84 horas</a:t>
              </a:r>
              <a:r>
                <a:rPr lang="es-419">
                  <a:effectLst/>
                  <a:latin typeface="Google Sans Text"/>
                </a:rPr>
                <a:t> ubicado en la lane de Finanzas justo antes de la tarea Emitir el reembolso (lote).</a:t>
              </a:r>
            </a:p>
            <a:p>
              <a:pPr marL="342900" lvl="0" indent="-342900" algn="l">
                <a:buFont typeface="Arial" panose="020B0604020202020204" pitchFamily="34" charset="0"/>
                <a:buChar char="•"/>
              </a:pPr>
              <a:r>
                <a:rPr lang="es-419" b="1">
                  <a:effectLst/>
                  <a:latin typeface="Google Sans Text"/>
                </a:rPr>
                <a:t>Impacto Cuantificado:</a:t>
              </a:r>
              <a:endParaRPr lang="es-419">
                <a:effectLst/>
                <a:latin typeface="Google Sans Text"/>
              </a:endParaRPr>
            </a:p>
            <a:p>
              <a:pPr marL="742950" lvl="1" indent="-285750" algn="l">
                <a:buFont typeface="Arial" panose="020B0604020202020204" pitchFamily="34" charset="0"/>
                <a:buChar char="•"/>
              </a:pPr>
              <a:r>
                <a:rPr lang="es-419" b="1">
                  <a:effectLst/>
                  <a:latin typeface="Google Sans Text"/>
                </a:rPr>
                <a:t>Horas de ciclo:</a:t>
              </a:r>
              <a:r>
                <a:rPr lang="es-419">
                  <a:effectLst/>
                  <a:latin typeface="Google Sans Text"/>
                </a:rPr>
                <a:t> Agrega </a:t>
              </a:r>
              <a:r>
                <a:rPr lang="es-419" b="1">
                  <a:effectLst/>
                  <a:latin typeface="Google Sans Text"/>
                </a:rPr>
                <a:t>84 horas de tiempo muerto</a:t>
              </a:r>
              <a:r>
                <a:rPr lang="es-419">
                  <a:effectLst/>
                  <a:latin typeface="Google Sans Text"/>
                </a:rPr>
                <a:t> a cada solicitud reembolsada, representando el </a:t>
              </a:r>
              <a:r>
                <a:rPr lang="es-419" i="0">
                  <a:latin typeface="Cambria Math" panose="02040503050406030204" pitchFamily="18" charset="0"/>
                </a:rPr>
                <a:t>35,6%</a:t>
              </a:r>
              <a:r>
                <a:rPr lang="es-419">
                  <a:effectLst/>
                  <a:latin typeface="Google Sans Text"/>
                </a:rPr>
                <a:t>del tiempo total del ciclo (</a:t>
              </a:r>
              <a:r>
                <a:rPr lang="es-419" i="0">
                  <a:latin typeface="Cambria Math" panose="02040503050406030204" pitchFamily="18" charset="0"/>
                </a:rPr>
                <a:t>𝑇𝐿=235,82" h"</a:t>
              </a:r>
              <a:r>
                <a:rPr lang="es-419">
                  <a:effectLst/>
                  <a:latin typeface="Google Sans Text"/>
                </a:rPr>
                <a:t>).</a:t>
              </a:r>
            </a:p>
            <a:p>
              <a:pPr marL="742950" lvl="1" indent="-285750" algn="l">
                <a:buFont typeface="Arial" panose="020B0604020202020204" pitchFamily="34" charset="0"/>
                <a:buChar char="•"/>
              </a:pPr>
              <a:r>
                <a:rPr lang="es-419" b="1">
                  <a:effectLst/>
                  <a:latin typeface="Google Sans Text"/>
                </a:rPr>
                <a:t>Pesos al mes:</a:t>
              </a:r>
              <a:r>
                <a:rPr lang="es-419">
                  <a:effectLst/>
                  <a:latin typeface="Google Sans Text"/>
                </a:rPr>
                <a:t> Retiene la liquidez de </a:t>
              </a:r>
              <a:r>
                <a:rPr lang="es-419" b="1">
                  <a:effectLst/>
                  <a:latin typeface="Google Sans Text"/>
                </a:rPr>
                <a:t>284 clientes al mes</a:t>
              </a:r>
              <a:r>
                <a:rPr lang="es-419">
                  <a:effectLst/>
                  <a:latin typeface="Google Sans Text"/>
                </a:rPr>
                <a:t> durante un promedio de </a:t>
              </a:r>
              <a:r>
                <a:rPr lang="es-419" i="0">
                  <a:latin typeface="Cambria Math" panose="02040503050406030204" pitchFamily="18" charset="0"/>
                </a:rPr>
                <a:t>3,5</a:t>
              </a:r>
              <a:r>
                <a:rPr lang="es-419">
                  <a:effectLst/>
                  <a:latin typeface="Google Sans Text"/>
                </a:rPr>
                <a:t>días por semana, incrementando las consultas en Atención al Cliente.</a:t>
              </a:r>
            </a:p>
            <a:p>
              <a:pPr marL="742950" lvl="1" indent="-285750" algn="l">
                <a:buFont typeface="Arial" panose="020B0604020202020204" pitchFamily="34" charset="0"/>
                <a:buChar char="•"/>
              </a:pPr>
              <a:endParaRPr lang="es-419">
                <a:effectLst/>
                <a:latin typeface="Google Sans Text"/>
              </a:endParaRPr>
            </a:p>
            <a:p>
              <a:pPr algn="l">
                <a:buNone/>
              </a:pPr>
              <a:r>
                <a:rPr lang="es-419" b="1">
                  <a:effectLst/>
                  <a:latin typeface="Google Sans Text"/>
                </a:rPr>
                <a:t>Problema 2: Sobrecarga Ejecutiva por Umbral Bajo (</a:t>
              </a:r>
              <a:r>
                <a:rPr lang="es-419" i="0">
                  <a:latin typeface="Cambria Math" panose="02040503050406030204" pitchFamily="18" charset="0"/>
                </a:rPr>
                <a:t>𝑈=$30.000</a:t>
              </a:r>
              <a:r>
                <a:rPr lang="es-419" b="1">
                  <a:effectLst/>
                  <a:latin typeface="Google Sans Text"/>
                </a:rPr>
                <a:t>)</a:t>
              </a:r>
              <a:endParaRPr lang="es-419">
                <a:effectLst/>
                <a:latin typeface="Google Sans Text"/>
              </a:endParaRPr>
            </a:p>
            <a:p>
              <a:pPr marL="342900" lvl="0" indent="-342900" algn="l">
                <a:buFont typeface="Arial" panose="020B0604020202020204" pitchFamily="34" charset="0"/>
                <a:buChar char="•"/>
              </a:pPr>
              <a:r>
                <a:rPr lang="es-419" b="1">
                  <a:effectLst/>
                  <a:latin typeface="Google Sans Text"/>
                </a:rPr>
                <a:t>Tipo:</a:t>
              </a:r>
              <a:r>
                <a:rPr lang="es-419">
                  <a:effectLst/>
                  <a:latin typeface="Google Sans Text"/>
                </a:rPr>
                <a:t> Decisión tardía / Cuello de botella en jefatura.</a:t>
              </a:r>
            </a:p>
            <a:p>
              <a:pPr marL="342900" lvl="0" indent="-342900" algn="l">
                <a:buFont typeface="Arial" panose="020B0604020202020204" pitchFamily="34" charset="0"/>
                <a:buChar char="•"/>
              </a:pPr>
              <a:r>
                <a:rPr lang="es-419" b="1">
                  <a:effectLst/>
                  <a:latin typeface="Google Sans Text"/>
                </a:rPr>
                <a:t>Evidencia en el Modelo AS-IS:</a:t>
              </a:r>
              <a:r>
                <a:rPr lang="es-419">
                  <a:effectLst/>
                  <a:latin typeface="Google Sans Text"/>
                </a:rPr>
                <a:t> Tarea "Resolver la aprobación" en la lane de Gerencia Comercial, precedida por el reloj de </a:t>
              </a:r>
              <a:r>
                <a:rPr lang="es-419" b="1">
                  <a:effectLst/>
                  <a:latin typeface="Google Sans Text"/>
                </a:rPr>
                <a:t>48 h</a:t>
              </a:r>
              <a:r>
                <a:rPr lang="es-419">
                  <a:effectLst/>
                  <a:latin typeface="Google Sans Text"/>
                </a:rPr>
                <a:t> + </a:t>
              </a:r>
              <a:r>
                <a:rPr lang="es-419" b="1">
                  <a:effectLst/>
                  <a:latin typeface="Google Sans Text"/>
                </a:rPr>
                <a:t>4 h</a:t>
              </a:r>
              <a:r>
                <a:rPr lang="es-419">
                  <a:effectLst/>
                  <a:latin typeface="Google Sans Text"/>
                </a:rPr>
                <a:t> de revisión.</a:t>
              </a:r>
            </a:p>
            <a:p>
              <a:pPr marL="342900" lvl="0" indent="-342900" algn="l">
                <a:buFont typeface="Arial" panose="020B0604020202020204" pitchFamily="34" charset="0"/>
                <a:buChar char="•"/>
              </a:pPr>
              <a:r>
                <a:rPr lang="es-419" b="1">
                  <a:effectLst/>
                  <a:latin typeface="Google Sans Text"/>
                </a:rPr>
                <a:t>Impacto Cuantificado:</a:t>
              </a:r>
              <a:endParaRPr lang="es-419">
                <a:effectLst/>
                <a:latin typeface="Google Sans Text"/>
              </a:endParaRPr>
            </a:p>
            <a:p>
              <a:pPr marL="742950" lvl="1" indent="-285750" algn="l">
                <a:buFont typeface="Arial" panose="020B0604020202020204" pitchFamily="34" charset="0"/>
                <a:buChar char="•"/>
              </a:pPr>
              <a:r>
                <a:rPr lang="es-419" b="1">
                  <a:effectLst/>
                  <a:latin typeface="Google Sans Text"/>
                </a:rPr>
                <a:t>Horas-persona al mes:</a:t>
              </a:r>
              <a:r>
                <a:rPr lang="es-419">
                  <a:effectLst/>
                  <a:latin typeface="Google Sans Text"/>
                </a:rPr>
                <a:t> Al bajar el umbral a </a:t>
              </a:r>
              <a:r>
                <a:rPr lang="es-419" i="0">
                  <a:latin typeface="Cambria Math" panose="02040503050406030204" pitchFamily="18" charset="0"/>
                </a:rPr>
                <a:t>$30.000</a:t>
              </a:r>
              <a:r>
                <a:rPr lang="es-419">
                  <a:effectLst/>
                  <a:latin typeface="Google Sans Text"/>
                </a:rPr>
                <a:t>, la demanda gerencial sube a </a:t>
              </a:r>
              <a:r>
                <a:rPr lang="es-419" b="1">
                  <a:effectLst/>
                  <a:latin typeface="Google Sans Text"/>
                </a:rPr>
                <a:t>211 solicitudes/mes</a:t>
              </a:r>
              <a:r>
                <a:rPr lang="es-419">
                  <a:effectLst/>
                  <a:latin typeface="Google Sans Text"/>
                </a:rPr>
                <a:t>, consumiendo </a:t>
              </a:r>
              <a:r>
                <a:rPr lang="es-419" i="0">
                  <a:latin typeface="Cambria Math" panose="02040503050406030204" pitchFamily="18" charset="0"/>
                </a:rPr>
                <a:t>28,13" h−p/mes"</a:t>
              </a:r>
              <a:r>
                <a:rPr lang="es-419">
                  <a:effectLst/>
                  <a:latin typeface="Google Sans Text"/>
                </a:rPr>
                <a:t> del Gerente Comercial.</a:t>
              </a:r>
            </a:p>
            <a:p>
              <a:pPr marL="742950" lvl="1" indent="-285750" algn="l">
                <a:buFont typeface="Arial" panose="020B0604020202020204" pitchFamily="34" charset="0"/>
                <a:buChar char="•"/>
              </a:pPr>
              <a:r>
                <a:rPr lang="es-419" b="1">
                  <a:effectLst/>
                  <a:latin typeface="Google Sans Text"/>
                </a:rPr>
                <a:t>Pesos al mes:</a:t>
              </a:r>
              <a:r>
                <a:rPr lang="es-419">
                  <a:effectLst/>
                  <a:latin typeface="Google Sans Text"/>
                </a:rPr>
                <a:t> Genera un costo administrativo ejecutivo de </a:t>
              </a:r>
              <a:r>
                <a:rPr lang="es-419" i="0">
                  <a:latin typeface="Cambria Math" panose="02040503050406030204" pitchFamily="18" charset="0"/>
                </a:rPr>
                <a:t>$506.400" CLP/mes"</a:t>
              </a:r>
              <a:r>
                <a:rPr lang="es-419">
                  <a:effectLst/>
                  <a:latin typeface="Google Sans Text"/>
                </a:rPr>
                <a:t>(</a:t>
              </a:r>
              <a:r>
                <a:rPr lang="es-419" i="0">
                  <a:latin typeface="Cambria Math" panose="02040503050406030204" pitchFamily="18" charset="0"/>
                </a:rPr>
                <a:t>28,13" h−p"×$18.000"/h"</a:t>
              </a:r>
              <a:r>
                <a:rPr lang="es-419">
                  <a:effectLst/>
                  <a:latin typeface="Google Sans Text"/>
                </a:rPr>
                <a:t>) por validar montos menores que podrían automatizarse</a:t>
              </a:r>
            </a:p>
            <a:p>
              <a:pPr marL="742950" lvl="1" indent="-285750" algn="l">
                <a:buFont typeface="Arial" panose="020B0604020202020204" pitchFamily="34" charset="0"/>
                <a:buChar char="•"/>
              </a:pPr>
              <a:endParaRPr lang="es-419">
                <a:effectLst/>
                <a:latin typeface="Google Sans Text"/>
              </a:endParaRPr>
            </a:p>
            <a:p>
              <a:pPr algn="l">
                <a:buNone/>
              </a:pPr>
              <a:r>
                <a:rPr lang="es-419" b="1">
                  <a:effectLst/>
                  <a:latin typeface="Google Sans Text"/>
                </a:rPr>
                <a:t>Problema 3: Redundancia en Registro Físico vs. Digital y Discrepancias</a:t>
              </a:r>
              <a:endParaRPr lang="es-419">
                <a:effectLst/>
                <a:latin typeface="Google Sans Text"/>
              </a:endParaRPr>
            </a:p>
            <a:p>
              <a:pPr marL="342900" lvl="0" indent="-342900" algn="l">
                <a:buFont typeface="Arial" panose="020B0604020202020204" pitchFamily="34" charset="0"/>
                <a:buChar char="•"/>
              </a:pPr>
              <a:r>
                <a:rPr lang="es-419" b="1">
                  <a:effectLst/>
                  <a:latin typeface="Google Sans Text"/>
                </a:rPr>
                <a:t>Tipo:</a:t>
              </a:r>
              <a:r>
                <a:rPr lang="es-419">
                  <a:effectLst/>
                  <a:latin typeface="Google Sans Text"/>
                </a:rPr>
                <a:t> Traspaso manual / Control redundante / Reproceso.</a:t>
              </a:r>
            </a:p>
            <a:p>
              <a:pPr marL="342900" lvl="0" indent="-342900" algn="l">
                <a:buFont typeface="Arial" panose="020B0604020202020204" pitchFamily="34" charset="0"/>
                <a:buChar char="•"/>
              </a:pPr>
              <a:r>
                <a:rPr lang="es-419" b="1">
                  <a:effectLst/>
                  <a:latin typeface="Google Sans Text"/>
                </a:rPr>
                <a:t>Evidencia en el Modelo AS-IS:</a:t>
              </a:r>
              <a:r>
                <a:rPr lang="es-419">
                  <a:effectLst/>
                  <a:latin typeface="Google Sans Text"/>
                </a:rPr>
                <a:t> Tarea Inspeccionar (ficha de papel) (</a:t>
              </a:r>
              <a:r>
                <a:rPr lang="es-419" i="0">
                  <a:latin typeface="Cambria Math" panose="02040503050406030204" pitchFamily="18" charset="0"/>
                </a:rPr>
                <a:t>25" min"</a:t>
              </a:r>
              <a:r>
                <a:rPr lang="es-419">
                  <a:effectLst/>
                  <a:latin typeface="Google Sans Text"/>
                </a:rPr>
                <a:t>) en Bodega, separada por un reloj de </a:t>
              </a:r>
              <a:r>
                <a:rPr lang="es-419" b="1">
                  <a:effectLst/>
                  <a:latin typeface="Google Sans Text"/>
                </a:rPr>
                <a:t>12 h</a:t>
              </a:r>
              <a:r>
                <a:rPr lang="es-419">
                  <a:effectLst/>
                  <a:latin typeface="Google Sans Text"/>
                </a:rPr>
                <a:t> de la tarea Digitar en WMS y avisar (</a:t>
              </a:r>
              <a:r>
                <a:rPr lang="es-419" i="0">
                  <a:latin typeface="Cambria Math" panose="02040503050406030204" pitchFamily="18" charset="0"/>
                </a:rPr>
                <a:t>10" min"</a:t>
              </a:r>
              <a:r>
                <a:rPr lang="es-419">
                  <a:effectLst/>
                  <a:latin typeface="Google Sans Text"/>
                </a:rPr>
                <a:t>).</a:t>
              </a:r>
            </a:p>
            <a:p>
              <a:pPr marL="342900" lvl="0" indent="-342900" algn="l">
                <a:buFont typeface="Arial" panose="020B0604020202020204" pitchFamily="34" charset="0"/>
                <a:buChar char="•"/>
              </a:pPr>
              <a:r>
                <a:rPr lang="es-419" b="1">
                  <a:effectLst/>
                  <a:latin typeface="Google Sans Text"/>
                </a:rPr>
                <a:t>Impacto Cuantificado:</a:t>
              </a:r>
              <a:endParaRPr lang="es-419">
                <a:effectLst/>
                <a:latin typeface="Google Sans Text"/>
              </a:endParaRPr>
            </a:p>
            <a:p>
              <a:pPr marL="742950" lvl="1" indent="-285750" algn="l">
                <a:buFont typeface="Arial" panose="020B0604020202020204" pitchFamily="34" charset="0"/>
                <a:buChar char="•"/>
              </a:pPr>
              <a:r>
                <a:rPr lang="es-419" b="1">
                  <a:effectLst/>
                  <a:latin typeface="Google Sans Text"/>
                </a:rPr>
                <a:t>Horas-persona al mes:</a:t>
              </a:r>
              <a:r>
                <a:rPr lang="es-419">
                  <a:effectLst/>
                  <a:latin typeface="Google Sans Text"/>
                </a:rPr>
                <a:t> Consumo de </a:t>
              </a:r>
              <a:r>
                <a:rPr lang="es-419" i="0">
                  <a:latin typeface="Cambria Math" panose="02040503050406030204" pitchFamily="18" charset="0"/>
                </a:rPr>
                <a:t>175,58" h−p/mes</a:t>
              </a:r>
              <a:r>
                <a:rPr lang="es-419" b="0" i="0">
                  <a:latin typeface="Cambria Math" panose="02040503050406030204" pitchFamily="18" charset="0"/>
                </a:rPr>
                <a:t> "</a:t>
              </a:r>
              <a:r>
                <a:rPr lang="es-419">
                  <a:effectLst/>
                  <a:latin typeface="Google Sans Text"/>
                </a:rPr>
                <a:t>del operario de bodega, sumado al </a:t>
              </a:r>
              <a:r>
                <a:rPr lang="es-419" i="0">
                  <a:latin typeface="Cambria Math" panose="02040503050406030204" pitchFamily="18" charset="0"/>
                </a:rPr>
                <a:t>9%</a:t>
              </a:r>
              <a:r>
                <a:rPr lang="es-419">
                  <a:effectLst/>
                  <a:latin typeface="Google Sans Text"/>
                </a:rPr>
                <a:t>de casos admisibles (</a:t>
              </a:r>
              <a:r>
                <a:rPr lang="es-419" i="0">
                  <a:latin typeface="Cambria Math" panose="02040503050406030204" pitchFamily="18" charset="0"/>
                </a:rPr>
                <a:t>27" solicitudes/mes"</a:t>
              </a:r>
              <a:r>
                <a:rPr lang="es-419">
                  <a:effectLst/>
                  <a:latin typeface="Google Sans Text"/>
                </a:rPr>
                <a:t>) que sufren reprocesos de aclaración.</a:t>
              </a:r>
            </a:p>
            <a:p>
              <a:pPr marL="742950" lvl="1" indent="-285750" algn="l">
                <a:buFont typeface="Arial" panose="020B0604020202020204" pitchFamily="34" charset="0"/>
                <a:buChar char="•"/>
              </a:pPr>
              <a:r>
                <a:rPr lang="es-419" b="1">
                  <a:effectLst/>
                  <a:latin typeface="Google Sans Text"/>
                </a:rPr>
                <a:t>Horas de ciclo:</a:t>
              </a:r>
              <a:r>
                <a:rPr lang="es-419">
                  <a:effectLst/>
                  <a:latin typeface="Google Sans Text"/>
                </a:rPr>
                <a:t> Produce un retraso fijo de </a:t>
              </a:r>
              <a:r>
                <a:rPr lang="es-419" b="1">
                  <a:effectLst/>
                  <a:latin typeface="Google Sans Text"/>
                </a:rPr>
                <a:t>12 horas de cola</a:t>
              </a:r>
              <a:r>
                <a:rPr lang="es-419">
                  <a:effectLst/>
                  <a:latin typeface="Google Sans Text"/>
                </a:rPr>
                <a:t> por lote en bodega (</a:t>
              </a:r>
              <a:r>
                <a:rPr lang="es-419" i="0">
                  <a:latin typeface="Cambria Math" panose="02040503050406030204" pitchFamily="18" charset="0"/>
                </a:rPr>
                <a:t>3.612" horas acumuladas/mes"</a:t>
              </a:r>
              <a:r>
                <a:rPr lang="es-419">
                  <a:effectLst/>
                  <a:latin typeface="Google Sans Text"/>
                </a:rPr>
                <a:t>) antes de habilitar el pago en Finanzas.</a:t>
              </a:r>
            </a:p>
            <a:p>
              <a:endParaRPr lang="es-419" sz="110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endParaRPr>
            </a:p>
          </xdr:txBody>
        </xdr:sp>
      </mc:Fallback>
    </mc:AlternateContent>
    <xdr:clientData/>
  </xdr:twoCellAnchor>
  <xdr:oneCellAnchor>
    <xdr:from>
      <xdr:col>7</xdr:col>
      <xdr:colOff>228600</xdr:colOff>
      <xdr:row>33</xdr:row>
      <xdr:rowOff>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47C5F35-12ED-F911-A77B-8ACC747FCD96}"/>
            </a:ext>
          </a:extLst>
        </xdr:cNvPr>
        <xdr:cNvSpPr txBox="1"/>
      </xdr:nvSpPr>
      <xdr:spPr>
        <a:xfrm>
          <a:off x="13068300" y="628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419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EA307-C133-42B7-B73E-A10FD2C41570}">
  <dimension ref="A1:F7"/>
  <sheetViews>
    <sheetView workbookViewId="0">
      <selection activeCell="E3" sqref="E3"/>
    </sheetView>
  </sheetViews>
  <sheetFormatPr baseColWidth="10" defaultRowHeight="15" x14ac:dyDescent="0.25"/>
  <cols>
    <col min="4" max="4" width="30.85546875" customWidth="1"/>
    <col min="6" max="6" width="75.85546875" customWidth="1"/>
  </cols>
  <sheetData>
    <row r="1" spans="1:6" x14ac:dyDescent="0.25">
      <c r="A1" t="s">
        <v>0</v>
      </c>
      <c r="B1">
        <v>345</v>
      </c>
      <c r="D1" s="1" t="s">
        <v>5</v>
      </c>
      <c r="E1" s="1" t="s">
        <v>6</v>
      </c>
      <c r="F1" s="1" t="s">
        <v>7</v>
      </c>
    </row>
    <row r="2" spans="1:6" x14ac:dyDescent="0.25">
      <c r="D2" s="1"/>
      <c r="E2" s="1"/>
      <c r="F2" s="1"/>
    </row>
    <row r="3" spans="1:6" ht="45" x14ac:dyDescent="0.25">
      <c r="D3" s="1" t="s">
        <v>2</v>
      </c>
      <c r="E3" s="1">
        <f>5000+1000*MOD(B1,40)</f>
        <v>30000</v>
      </c>
      <c r="F3" s="2" t="s">
        <v>8</v>
      </c>
    </row>
    <row r="4" spans="1:6" ht="30" x14ac:dyDescent="0.25">
      <c r="D4" s="1" t="s">
        <v>1</v>
      </c>
      <c r="E4" s="1">
        <f>10+MOD(B1,3)*5</f>
        <v>10</v>
      </c>
      <c r="F4" s="2" t="s">
        <v>9</v>
      </c>
    </row>
    <row r="5" spans="1:6" ht="30" x14ac:dyDescent="0.25">
      <c r="D5" s="1" t="s">
        <v>10</v>
      </c>
      <c r="E5" s="1">
        <f>0.1+0.01*MOD(B1,10)</f>
        <v>0.15000000000000002</v>
      </c>
      <c r="F5" s="2" t="s">
        <v>11</v>
      </c>
    </row>
    <row r="6" spans="1:6" ht="30" x14ac:dyDescent="0.25">
      <c r="D6" s="1" t="s">
        <v>3</v>
      </c>
      <c r="E6" s="1">
        <f>200+3*MOD(B1,100)</f>
        <v>335</v>
      </c>
      <c r="F6" s="2" t="s">
        <v>12</v>
      </c>
    </row>
    <row r="7" spans="1:6" ht="30" x14ac:dyDescent="0.25">
      <c r="D7" s="1" t="s">
        <v>4</v>
      </c>
      <c r="E7" s="1">
        <f>MOD(B1,2)</f>
        <v>1</v>
      </c>
      <c r="F7" s="2" t="s">
        <v>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C7DB5-1BDD-46E2-AD6F-2E7EA4F8BBF0}">
  <dimension ref="C2:I31"/>
  <sheetViews>
    <sheetView topLeftCell="A10" workbookViewId="0">
      <selection activeCell="G31" sqref="G31"/>
    </sheetView>
  </sheetViews>
  <sheetFormatPr baseColWidth="10" defaultRowHeight="15" x14ac:dyDescent="0.25"/>
  <cols>
    <col min="3" max="3" width="33" customWidth="1"/>
    <col min="4" max="4" width="74" customWidth="1"/>
    <col min="5" max="5" width="23.28515625" customWidth="1"/>
    <col min="6" max="6" width="19" customWidth="1"/>
    <col min="7" max="7" width="20.42578125" customWidth="1"/>
    <col min="8" max="8" width="23.28515625" customWidth="1"/>
    <col min="9" max="9" width="27.42578125" customWidth="1"/>
  </cols>
  <sheetData>
    <row r="2" spans="3:8" x14ac:dyDescent="0.25">
      <c r="C2" s="1" t="s">
        <v>20</v>
      </c>
      <c r="D2" s="1" t="s">
        <v>21</v>
      </c>
      <c r="E2" s="1" t="s">
        <v>22</v>
      </c>
      <c r="F2" s="1" t="s">
        <v>23</v>
      </c>
      <c r="G2" s="1" t="s">
        <v>30</v>
      </c>
      <c r="H2" s="1" t="s">
        <v>29</v>
      </c>
    </row>
    <row r="3" spans="3:8" x14ac:dyDescent="0.25">
      <c r="C3" s="1" t="s">
        <v>15</v>
      </c>
      <c r="D3" s="1" t="s">
        <v>24</v>
      </c>
      <c r="E3" s="5">
        <v>0.1</v>
      </c>
      <c r="F3" s="8">
        <f>E3*'Parte A'!$E$6</f>
        <v>33.5</v>
      </c>
      <c r="G3" s="1">
        <v>0.22</v>
      </c>
      <c r="H3" s="1">
        <v>0.22</v>
      </c>
    </row>
    <row r="4" spans="3:8" x14ac:dyDescent="0.25">
      <c r="C4" s="1" t="s">
        <v>16</v>
      </c>
      <c r="D4" s="1" t="s">
        <v>25</v>
      </c>
      <c r="E4" s="5">
        <v>0.6</v>
      </c>
      <c r="F4" s="8">
        <f>E4*'Parte A'!$E$6</f>
        <v>201</v>
      </c>
      <c r="G4" s="1">
        <v>1.32</v>
      </c>
      <c r="H4" s="1">
        <v>242</v>
      </c>
    </row>
    <row r="5" spans="3:8" x14ac:dyDescent="0.25">
      <c r="C5" s="1" t="s">
        <v>17</v>
      </c>
      <c r="D5" s="1" t="s">
        <v>26</v>
      </c>
      <c r="E5" s="5">
        <v>0.15</v>
      </c>
      <c r="F5" s="8">
        <f>E5*'Parte A'!$E$6</f>
        <v>50.25</v>
      </c>
      <c r="G5" s="1">
        <v>2.4</v>
      </c>
      <c r="H5" s="1">
        <v>362</v>
      </c>
    </row>
    <row r="6" spans="3:8" x14ac:dyDescent="0.25">
      <c r="C6" s="1" t="s">
        <v>18</v>
      </c>
      <c r="D6" s="1" t="s">
        <v>27</v>
      </c>
      <c r="E6" s="5">
        <v>0.15</v>
      </c>
      <c r="F6" s="8">
        <f>E6*'Parte A'!$E$6</f>
        <v>50.25</v>
      </c>
      <c r="G6" s="1">
        <v>1.32</v>
      </c>
      <c r="H6" s="1">
        <v>242</v>
      </c>
    </row>
    <row r="7" spans="3:8" x14ac:dyDescent="0.25">
      <c r="C7" s="1" t="s">
        <v>19</v>
      </c>
      <c r="D7" s="1" t="s">
        <v>28</v>
      </c>
      <c r="E7" s="5">
        <v>1</v>
      </c>
      <c r="F7" s="6">
        <f>SUM(F3:F6)</f>
        <v>335</v>
      </c>
      <c r="G7" s="4">
        <f>SUMPRODUCT(E3:E6,G3:G6)</f>
        <v>1.3719999999999999</v>
      </c>
      <c r="H7" s="4">
        <f>SUMPRODUCT(E3:E6,H3:H6)</f>
        <v>235.822</v>
      </c>
    </row>
    <row r="9" spans="3:8" x14ac:dyDescent="0.25">
      <c r="C9" t="s">
        <v>39</v>
      </c>
    </row>
    <row r="10" spans="3:8" x14ac:dyDescent="0.25">
      <c r="C10" t="s">
        <v>31</v>
      </c>
      <c r="D10" s="3">
        <f>H7</f>
        <v>235.822</v>
      </c>
    </row>
    <row r="12" spans="3:8" x14ac:dyDescent="0.25">
      <c r="C12" t="s">
        <v>32</v>
      </c>
    </row>
    <row r="13" spans="3:8" x14ac:dyDescent="0.25">
      <c r="C13" t="s">
        <v>72</v>
      </c>
      <c r="D13" s="3">
        <f>G7</f>
        <v>1.3719999999999999</v>
      </c>
    </row>
    <row r="14" spans="3:8" x14ac:dyDescent="0.25">
      <c r="C14" t="s">
        <v>33</v>
      </c>
      <c r="D14" s="7">
        <f>D13/D10</f>
        <v>5.817947434929735E-3</v>
      </c>
    </row>
    <row r="17" spans="3:9" x14ac:dyDescent="0.25">
      <c r="C17" t="s">
        <v>34</v>
      </c>
    </row>
    <row r="19" spans="3:9" x14ac:dyDescent="0.25">
      <c r="C19" s="1" t="s">
        <v>35</v>
      </c>
      <c r="D19" s="1" t="s">
        <v>40</v>
      </c>
      <c r="E19" s="1" t="s">
        <v>36</v>
      </c>
      <c r="F19" s="1" t="s">
        <v>55</v>
      </c>
      <c r="G19" s="1" t="s">
        <v>37</v>
      </c>
      <c r="H19" s="1" t="s">
        <v>56</v>
      </c>
      <c r="I19" s="1" t="s">
        <v>60</v>
      </c>
    </row>
    <row r="20" spans="3:9" x14ac:dyDescent="0.25">
      <c r="C20" s="1" t="s">
        <v>41</v>
      </c>
      <c r="D20" s="1" t="s">
        <v>45</v>
      </c>
      <c r="E20" s="1">
        <v>335</v>
      </c>
      <c r="F20" s="1">
        <f>(12*335+8*335+5*301+15*301+6*211)</f>
        <v>13986</v>
      </c>
      <c r="G20" s="4">
        <f>F20/60</f>
        <v>233.1</v>
      </c>
      <c r="H20" s="1">
        <v>6500</v>
      </c>
      <c r="I20" s="4">
        <f>H20*G20</f>
        <v>1515150</v>
      </c>
    </row>
    <row r="21" spans="3:9" x14ac:dyDescent="0.25">
      <c r="C21" s="1" t="s">
        <v>42</v>
      </c>
      <c r="D21" s="1" t="s">
        <v>47</v>
      </c>
      <c r="E21" s="1" t="s">
        <v>51</v>
      </c>
      <c r="F21" s="1">
        <f>8*211</f>
        <v>1688</v>
      </c>
      <c r="G21" s="4">
        <f>F21/60</f>
        <v>28.133333333333333</v>
      </c>
      <c r="H21" s="1">
        <f>18000</f>
        <v>18000</v>
      </c>
      <c r="I21" s="4">
        <f t="shared" ref="I21:I27" si="0">H21*G21</f>
        <v>506400</v>
      </c>
    </row>
    <row r="22" spans="3:9" x14ac:dyDescent="0.25">
      <c r="C22" s="1" t="s">
        <v>43</v>
      </c>
      <c r="D22" s="1" t="s">
        <v>48</v>
      </c>
      <c r="E22" s="1">
        <v>301</v>
      </c>
      <c r="F22" s="1">
        <f>25*301 + 10*301</f>
        <v>10535</v>
      </c>
      <c r="G22" s="4">
        <f>F22/60</f>
        <v>175.58333333333334</v>
      </c>
      <c r="H22" s="1">
        <v>5800</v>
      </c>
      <c r="I22" s="4">
        <f t="shared" si="0"/>
        <v>1018383.3333333334</v>
      </c>
    </row>
    <row r="23" spans="3:9" x14ac:dyDescent="0.25">
      <c r="C23" s="1" t="s">
        <v>44</v>
      </c>
      <c r="D23" s="1" t="s">
        <v>49</v>
      </c>
      <c r="E23" s="1">
        <v>301</v>
      </c>
      <c r="F23" s="1">
        <f>9*284+14*284</f>
        <v>6532</v>
      </c>
      <c r="G23" s="4">
        <f>F23/60</f>
        <v>108.86666666666666</v>
      </c>
      <c r="H23" s="1">
        <v>9200</v>
      </c>
      <c r="I23" s="4">
        <f t="shared" si="0"/>
        <v>1001573.3333333333</v>
      </c>
    </row>
    <row r="24" spans="3:9" x14ac:dyDescent="0.25">
      <c r="C24" s="1" t="s">
        <v>57</v>
      </c>
      <c r="D24" s="1" t="s">
        <v>54</v>
      </c>
      <c r="E24" s="1">
        <v>284</v>
      </c>
      <c r="F24" s="1" t="s">
        <v>14</v>
      </c>
      <c r="G24" s="1" t="s">
        <v>14</v>
      </c>
      <c r="H24" s="1">
        <v>900</v>
      </c>
      <c r="I24" s="4">
        <f>H24*E24</f>
        <v>255600</v>
      </c>
    </row>
    <row r="25" spans="3:9" x14ac:dyDescent="0.25">
      <c r="C25" s="1" t="s">
        <v>50</v>
      </c>
      <c r="D25" s="1" t="s">
        <v>46</v>
      </c>
      <c r="E25" s="1">
        <v>301</v>
      </c>
      <c r="F25" s="1">
        <f>10*E25</f>
        <v>3010</v>
      </c>
      <c r="G25" s="4">
        <f>F25/60</f>
        <v>50.166666666666664</v>
      </c>
      <c r="H25" s="1">
        <f>11000</f>
        <v>11000</v>
      </c>
      <c r="I25" s="4">
        <f t="shared" si="0"/>
        <v>551833.33333333326</v>
      </c>
    </row>
    <row r="26" spans="3:9" x14ac:dyDescent="0.25">
      <c r="C26" s="1" t="s">
        <v>52</v>
      </c>
      <c r="D26" s="1" t="s">
        <v>53</v>
      </c>
      <c r="E26" s="1">
        <v>32</v>
      </c>
      <c r="F26" s="1">
        <f>65*E26</f>
        <v>2080</v>
      </c>
      <c r="G26" s="4">
        <f>F26/60</f>
        <v>34.666666666666664</v>
      </c>
      <c r="H26" s="1">
        <f>8400</f>
        <v>8400</v>
      </c>
      <c r="I26" s="4">
        <f t="shared" si="0"/>
        <v>291200</v>
      </c>
    </row>
    <row r="27" spans="3:9" x14ac:dyDescent="0.25">
      <c r="C27" s="1" t="s">
        <v>58</v>
      </c>
      <c r="D27" s="1" t="s">
        <v>59</v>
      </c>
      <c r="E27" s="1">
        <v>301</v>
      </c>
      <c r="F27" s="1" t="s">
        <v>14</v>
      </c>
      <c r="G27" s="1">
        <v>0</v>
      </c>
      <c r="H27" s="1">
        <v>0</v>
      </c>
      <c r="I27" s="4">
        <f t="shared" si="0"/>
        <v>0</v>
      </c>
    </row>
    <row r="28" spans="3:9" x14ac:dyDescent="0.25">
      <c r="C28" s="1" t="s">
        <v>38</v>
      </c>
      <c r="D28" s="1" t="s">
        <v>28</v>
      </c>
      <c r="E28" s="1">
        <v>335</v>
      </c>
      <c r="F28" s="1">
        <f>F20+F21+F22+F23+F25+F26</f>
        <v>37831</v>
      </c>
      <c r="G28" s="4">
        <f>G20+G21+G22+G23+G25+G26</f>
        <v>630.51666666666665</v>
      </c>
      <c r="H28" s="1">
        <f>SUM(H20:H26)</f>
        <v>59800</v>
      </c>
      <c r="I28" s="4">
        <f>SUM(I20:I27)</f>
        <v>5140140</v>
      </c>
    </row>
    <row r="30" spans="3:9" x14ac:dyDescent="0.25">
      <c r="C30" t="s">
        <v>61</v>
      </c>
      <c r="D30" s="9">
        <f>I28</f>
        <v>5140140</v>
      </c>
    </row>
    <row r="31" spans="3:9" x14ac:dyDescent="0.25">
      <c r="C31" t="s">
        <v>62</v>
      </c>
      <c r="D31" s="9">
        <f>D30/335</f>
        <v>15343.701492537313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EB00C-8AB1-4120-97CA-43E589CD6BA4}">
  <dimension ref="B2:N21"/>
  <sheetViews>
    <sheetView tabSelected="1" zoomScale="85" zoomScaleNormal="85" workbookViewId="0">
      <selection activeCell="I52" sqref="I52"/>
    </sheetView>
  </sheetViews>
  <sheetFormatPr baseColWidth="10" defaultRowHeight="15" x14ac:dyDescent="0.25"/>
  <cols>
    <col min="2" max="2" width="33" customWidth="1"/>
    <col min="3" max="3" width="22.7109375" customWidth="1"/>
    <col min="4" max="4" width="24.140625" customWidth="1"/>
    <col min="5" max="5" width="33.85546875" customWidth="1"/>
    <col min="6" max="6" width="24" customWidth="1"/>
    <col min="8" max="8" width="27.7109375" customWidth="1"/>
    <col min="9" max="9" width="75.5703125" customWidth="1"/>
    <col min="10" max="10" width="18.42578125" customWidth="1"/>
    <col min="11" max="11" width="22" customWidth="1"/>
    <col min="12" max="12" width="21.5703125" customWidth="1"/>
    <col min="13" max="13" width="24.85546875" customWidth="1"/>
    <col min="14" max="14" width="23.28515625" customWidth="1"/>
  </cols>
  <sheetData>
    <row r="2" spans="2:14" x14ac:dyDescent="0.25">
      <c r="B2" t="s">
        <v>63</v>
      </c>
      <c r="H2" t="s">
        <v>73</v>
      </c>
    </row>
    <row r="4" spans="2:14" x14ac:dyDescent="0.25">
      <c r="B4" s="1" t="s">
        <v>65</v>
      </c>
      <c r="C4" s="1" t="s">
        <v>64</v>
      </c>
      <c r="D4" s="1" t="s">
        <v>66</v>
      </c>
      <c r="E4" s="1" t="s">
        <v>67</v>
      </c>
      <c r="F4" s="1" t="s">
        <v>78</v>
      </c>
      <c r="H4" s="1" t="s">
        <v>35</v>
      </c>
      <c r="I4" s="1" t="s">
        <v>40</v>
      </c>
      <c r="J4" s="1" t="s">
        <v>36</v>
      </c>
      <c r="K4" s="1" t="s">
        <v>55</v>
      </c>
      <c r="L4" s="1" t="s">
        <v>37</v>
      </c>
      <c r="M4" s="1" t="s">
        <v>56</v>
      </c>
      <c r="N4" s="1" t="s">
        <v>60</v>
      </c>
    </row>
    <row r="5" spans="2:14" x14ac:dyDescent="0.25">
      <c r="B5" s="1" t="s">
        <v>68</v>
      </c>
      <c r="C5" s="4">
        <f>'Parte B'!D10</f>
        <v>235.822</v>
      </c>
      <c r="D5" s="4">
        <f>C5-148</f>
        <v>87.822000000000003</v>
      </c>
      <c r="E5" s="11">
        <f>(C5-D5)/C5</f>
        <v>0.62759199735393645</v>
      </c>
      <c r="F5" s="1" t="s">
        <v>79</v>
      </c>
      <c r="H5" s="1" t="s">
        <v>41</v>
      </c>
      <c r="I5" s="1" t="s">
        <v>74</v>
      </c>
      <c r="J5" s="1">
        <v>335</v>
      </c>
      <c r="K5" s="1">
        <f>(12*335+8*335+5*301+15*301)</f>
        <v>12720</v>
      </c>
      <c r="L5" s="4">
        <f>K5/60</f>
        <v>212</v>
      </c>
      <c r="M5" s="1">
        <v>6500</v>
      </c>
      <c r="N5" s="4">
        <f>M5*L5</f>
        <v>1378000</v>
      </c>
    </row>
    <row r="6" spans="2:14" x14ac:dyDescent="0.25">
      <c r="B6" s="1" t="s">
        <v>69</v>
      </c>
      <c r="C6" s="4">
        <f>'Parte B'!D13</f>
        <v>1.3719999999999999</v>
      </c>
      <c r="D6" s="4">
        <f>(K13/J13)/60</f>
        <v>1.1629850746268657</v>
      </c>
      <c r="E6" s="11">
        <f t="shared" ref="E6:E10" si="0">(C6-D6)/C6</f>
        <v>0.15234324006788205</v>
      </c>
      <c r="F6" s="1" t="s">
        <v>79</v>
      </c>
      <c r="H6" s="1" t="s">
        <v>42</v>
      </c>
      <c r="I6" s="1" t="s">
        <v>76</v>
      </c>
      <c r="J6" s="1" t="s">
        <v>51</v>
      </c>
      <c r="K6" s="1">
        <v>0</v>
      </c>
      <c r="L6" s="4">
        <f>K6/60</f>
        <v>0</v>
      </c>
      <c r="M6" s="1">
        <f>18000</f>
        <v>18000</v>
      </c>
      <c r="N6" s="4">
        <f t="shared" ref="N6:N12" si="1">M6*L6</f>
        <v>0</v>
      </c>
    </row>
    <row r="7" spans="2:14" x14ac:dyDescent="0.25">
      <c r="B7" s="1" t="s">
        <v>70</v>
      </c>
      <c r="C7" s="10">
        <f>'Parte B'!D14</f>
        <v>5.817947434929735E-3</v>
      </c>
      <c r="D7" s="10">
        <f>D6/D5</f>
        <v>1.3242525501888657E-2</v>
      </c>
      <c r="E7" s="11">
        <f>(D7-C7)/C7</f>
        <v>1.2761507645090284</v>
      </c>
      <c r="F7" s="1" t="s">
        <v>80</v>
      </c>
      <c r="H7" s="1" t="s">
        <v>43</v>
      </c>
      <c r="I7" s="1" t="s">
        <v>75</v>
      </c>
      <c r="J7" s="1">
        <v>301</v>
      </c>
      <c r="K7" s="1">
        <f>10*301</f>
        <v>3010</v>
      </c>
      <c r="L7" s="4">
        <f>K7/60</f>
        <v>50.166666666666664</v>
      </c>
      <c r="M7" s="1">
        <v>5800</v>
      </c>
      <c r="N7" s="4">
        <f t="shared" si="1"/>
        <v>290966.66666666663</v>
      </c>
    </row>
    <row r="8" spans="2:14" x14ac:dyDescent="0.25">
      <c r="B8" s="1" t="s">
        <v>37</v>
      </c>
      <c r="C8" s="4">
        <f>'Parte B'!G28</f>
        <v>630.51666666666665</v>
      </c>
      <c r="D8" s="4">
        <f>L13</f>
        <v>389.60000000000008</v>
      </c>
      <c r="E8" s="11">
        <f t="shared" si="0"/>
        <v>0.38209404985329476</v>
      </c>
      <c r="F8" s="1" t="s">
        <v>79</v>
      </c>
      <c r="H8" s="1" t="s">
        <v>44</v>
      </c>
      <c r="I8" s="1" t="s">
        <v>77</v>
      </c>
      <c r="J8" s="1">
        <v>301</v>
      </c>
      <c r="K8" s="1">
        <f>9*284</f>
        <v>2556</v>
      </c>
      <c r="L8" s="4">
        <f>K8/60</f>
        <v>42.6</v>
      </c>
      <c r="M8" s="1">
        <v>9200</v>
      </c>
      <c r="N8" s="4">
        <f t="shared" si="1"/>
        <v>391920</v>
      </c>
    </row>
    <row r="9" spans="2:14" x14ac:dyDescent="0.25">
      <c r="B9" s="1" t="s">
        <v>60</v>
      </c>
      <c r="C9" s="4">
        <f>'Parte B'!D30</f>
        <v>5140140</v>
      </c>
      <c r="D9" s="4">
        <f>N13</f>
        <v>3159520</v>
      </c>
      <c r="E9" s="11">
        <f t="shared" si="0"/>
        <v>0.38532413514028802</v>
      </c>
      <c r="F9" s="1" t="s">
        <v>79</v>
      </c>
      <c r="H9" s="1" t="s">
        <v>57</v>
      </c>
      <c r="I9" s="1" t="s">
        <v>54</v>
      </c>
      <c r="J9" s="1">
        <v>284</v>
      </c>
      <c r="K9" s="1" t="s">
        <v>14</v>
      </c>
      <c r="L9" s="1" t="s">
        <v>14</v>
      </c>
      <c r="M9" s="1">
        <v>900</v>
      </c>
      <c r="N9" s="4">
        <f>M9*J9</f>
        <v>255600</v>
      </c>
    </row>
    <row r="10" spans="2:14" x14ac:dyDescent="0.25">
      <c r="B10" s="1" t="s">
        <v>71</v>
      </c>
      <c r="C10" s="6">
        <f>'Parte B'!D31</f>
        <v>15343.701492537313</v>
      </c>
      <c r="D10" s="6">
        <f>N13/335</f>
        <v>9431.4029850746265</v>
      </c>
      <c r="E10" s="11">
        <f t="shared" si="0"/>
        <v>0.38532413514028802</v>
      </c>
      <c r="F10" s="1" t="s">
        <v>79</v>
      </c>
      <c r="H10" s="1" t="s">
        <v>50</v>
      </c>
      <c r="I10" s="1" t="s">
        <v>46</v>
      </c>
      <c r="J10" s="1">
        <v>301</v>
      </c>
      <c r="K10" s="1">
        <f>10*J10</f>
        <v>3010</v>
      </c>
      <c r="L10" s="4">
        <f>K10/60</f>
        <v>50.166666666666664</v>
      </c>
      <c r="M10" s="1">
        <f>11000</f>
        <v>11000</v>
      </c>
      <c r="N10" s="4">
        <f t="shared" si="1"/>
        <v>551833.33333333326</v>
      </c>
    </row>
    <row r="11" spans="2:14" x14ac:dyDescent="0.25">
      <c r="H11" s="1" t="s">
        <v>52</v>
      </c>
      <c r="I11" s="1" t="s">
        <v>53</v>
      </c>
      <c r="J11" s="1">
        <v>32</v>
      </c>
      <c r="K11" s="1">
        <f>65*J11</f>
        <v>2080</v>
      </c>
      <c r="L11" s="4">
        <f>K11/60</f>
        <v>34.666666666666664</v>
      </c>
      <c r="M11" s="1">
        <f>8400</f>
        <v>8400</v>
      </c>
      <c r="N11" s="4">
        <f t="shared" si="1"/>
        <v>291200</v>
      </c>
    </row>
    <row r="12" spans="2:14" x14ac:dyDescent="0.25">
      <c r="H12" s="1" t="s">
        <v>58</v>
      </c>
      <c r="I12" s="1" t="s">
        <v>59</v>
      </c>
      <c r="J12" s="1">
        <v>301</v>
      </c>
      <c r="K12" s="1" t="s">
        <v>14</v>
      </c>
      <c r="L12" s="1">
        <v>0</v>
      </c>
      <c r="M12" s="1">
        <v>0</v>
      </c>
      <c r="N12" s="4">
        <f t="shared" si="1"/>
        <v>0</v>
      </c>
    </row>
    <row r="13" spans="2:14" x14ac:dyDescent="0.25">
      <c r="H13" s="1" t="s">
        <v>38</v>
      </c>
      <c r="I13" s="1" t="s">
        <v>28</v>
      </c>
      <c r="J13" s="1">
        <v>335</v>
      </c>
      <c r="K13" s="1">
        <f>K5+K6+K7+K8+K10+K11</f>
        <v>23376</v>
      </c>
      <c r="L13" s="4">
        <f>L5+L6+L7+L8+L10+L11</f>
        <v>389.60000000000008</v>
      </c>
      <c r="M13" s="1">
        <f>SUM(M5:M11)</f>
        <v>59800</v>
      </c>
      <c r="N13" s="4">
        <f>SUM(N5:N12)</f>
        <v>3159520</v>
      </c>
    </row>
    <row r="17" spans="9:9" x14ac:dyDescent="0.25">
      <c r="I17" s="3"/>
    </row>
    <row r="20" spans="9:9" x14ac:dyDescent="0.25">
      <c r="I20" s="3"/>
    </row>
    <row r="21" spans="9:9" x14ac:dyDescent="0.25">
      <c r="I2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Parte A</vt:lpstr>
      <vt:lpstr>Parte B</vt:lpstr>
      <vt:lpstr>Parte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Orellana Peña (Alumno)</dc:creator>
  <cp:lastModifiedBy>Gonzalo Orellana Peña (Alumno)</cp:lastModifiedBy>
  <dcterms:created xsi:type="dcterms:W3CDTF">2026-09-01T00:06:32Z</dcterms:created>
  <dcterms:modified xsi:type="dcterms:W3CDTF">2026-09-03T00:40:42Z</dcterms:modified>
</cp:coreProperties>
</file>